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63e388bf8fd4b4/Documentos/"/>
    </mc:Choice>
  </mc:AlternateContent>
  <xr:revisionPtr revIDLastSave="0" documentId="8_{BEDCE91E-E8B1-46FD-870D-EE8CB04117B3}" xr6:coauthVersionLast="47" xr6:coauthVersionMax="47" xr10:uidLastSave="{00000000-0000-0000-0000-000000000000}"/>
  <bookViews>
    <workbookView xWindow="-120" yWindow="-120" windowWidth="20730" windowHeight="11040" activeTab="1" xr2:uid="{021838A9-8DE6-41E8-8DFB-D1C54B1D46EA}"/>
  </bookViews>
  <sheets>
    <sheet name="Gráfico1" sheetId="2" r:id="rId1"/>
    <sheet name="Ejercicio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C27" i="1"/>
  <c r="B27" i="1"/>
  <c r="C26" i="1"/>
  <c r="B26" i="1"/>
  <c r="J25" i="1"/>
  <c r="I26" i="1"/>
  <c r="I25" i="1"/>
  <c r="H26" i="1"/>
  <c r="G26" i="1"/>
  <c r="G25" i="1"/>
  <c r="I22" i="1"/>
  <c r="J22" i="1"/>
  <c r="K2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K2" i="1"/>
  <c r="J2" i="1"/>
  <c r="I2" i="1"/>
  <c r="G22" i="1"/>
  <c r="H2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H2" i="1"/>
  <c r="G2" i="1"/>
  <c r="F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D22" i="1"/>
  <c r="E2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E2" i="1"/>
  <c r="D2" i="1"/>
  <c r="C25" i="1"/>
  <c r="B25" i="1"/>
  <c r="C22" i="1"/>
  <c r="B22" i="1"/>
</calcChain>
</file>

<file path=xl/sharedStrings.xml><?xml version="1.0" encoding="utf-8"?>
<sst xmlns="http://schemas.openxmlformats.org/spreadsheetml/2006/main" count="17" uniqueCount="17">
  <si>
    <t>X</t>
  </si>
  <si>
    <t>Y</t>
  </si>
  <si>
    <t>n</t>
  </si>
  <si>
    <t>Promedio</t>
  </si>
  <si>
    <t>(X-Xp)*(Y-Yp)</t>
  </si>
  <si>
    <t>(X-Xp)</t>
  </si>
  <si>
    <t>(X-Xp)^2</t>
  </si>
  <si>
    <t>(Y-Yp)^2</t>
  </si>
  <si>
    <t>(Y-Yp)</t>
  </si>
  <si>
    <t>X^2</t>
  </si>
  <si>
    <t>Y^2</t>
  </si>
  <si>
    <t>XY</t>
  </si>
  <si>
    <t>r</t>
  </si>
  <si>
    <t>Desviacion</t>
  </si>
  <si>
    <t>Intercepto</t>
  </si>
  <si>
    <t>Coef. Variación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</si>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</sst>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4" formatCode="_(* #,##0.0000_);_(* \(#,##0.0000\);_(* &quot;-&quot;??_);_(@_)"/>
    <numFmt numFmtId="178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3" fontId="2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43" fontId="3" fillId="0" borderId="1" xfId="1" applyNumberFormat="1" applyFont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 wrapText="1"/>
    </xf>
    <xf numFmtId="43" fontId="2" fillId="0" borderId="0" xfId="1" applyNumberFormat="1" applyFont="1" applyAlignme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43" fontId="2" fillId="0" borderId="0" xfId="0" applyNumberFormat="1" applyFont="1"/>
    <xf numFmtId="0" fontId="3" fillId="0" borderId="1" xfId="0" applyFont="1" applyBorder="1"/>
    <xf numFmtId="0" fontId="2" fillId="0" borderId="1" xfId="0" applyFont="1" applyBorder="1"/>
    <xf numFmtId="43" fontId="3" fillId="0" borderId="1" xfId="0" applyNumberFormat="1" applyFont="1" applyBorder="1"/>
    <xf numFmtId="174" fontId="2" fillId="0" borderId="1" xfId="0" applyNumberFormat="1" applyFont="1" applyBorder="1"/>
    <xf numFmtId="174" fontId="3" fillId="0" borderId="1" xfId="0" applyNumberFormat="1" applyFont="1" applyBorder="1"/>
    <xf numFmtId="178" fontId="2" fillId="0" borderId="0" xfId="0" applyNumberFormat="1" applyFont="1"/>
    <xf numFmtId="9" fontId="2" fillId="0" borderId="0" xfId="2" applyFont="1"/>
    <xf numFmtId="2" fontId="2" fillId="0" borderId="0" xfId="0" applyNumberFormat="1" applyFont="1"/>
    <xf numFmtId="178" fontId="4" fillId="0" borderId="0" xfId="0" applyNumberFormat="1" applyFont="1"/>
    <xf numFmtId="0" fontId="4" fillId="0" borderId="0" xfId="0" applyFont="1" applyAlignment="1">
      <alignment horizontal="right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Ejercicio4!$C$1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Ejercicio4!$B$2:$B$21</c:f>
              <c:numCache>
                <c:formatCode>0.00</c:formatCode>
                <c:ptCount val="20"/>
                <c:pt idx="0">
                  <c:v>1.72</c:v>
                </c:pt>
                <c:pt idx="1">
                  <c:v>1.7</c:v>
                </c:pt>
                <c:pt idx="2">
                  <c:v>1.7</c:v>
                </c:pt>
                <c:pt idx="3">
                  <c:v>1.68</c:v>
                </c:pt>
                <c:pt idx="4">
                  <c:v>1.75</c:v>
                </c:pt>
                <c:pt idx="5">
                  <c:v>1.69</c:v>
                </c:pt>
                <c:pt idx="6">
                  <c:v>1.71</c:v>
                </c:pt>
                <c:pt idx="7">
                  <c:v>1.69</c:v>
                </c:pt>
                <c:pt idx="8">
                  <c:v>1.67</c:v>
                </c:pt>
                <c:pt idx="9">
                  <c:v>1.74</c:v>
                </c:pt>
                <c:pt idx="10">
                  <c:v>1.76</c:v>
                </c:pt>
                <c:pt idx="11">
                  <c:v>1.7</c:v>
                </c:pt>
                <c:pt idx="12">
                  <c:v>1.69</c:v>
                </c:pt>
                <c:pt idx="13">
                  <c:v>1.66</c:v>
                </c:pt>
                <c:pt idx="14">
                  <c:v>1.78</c:v>
                </c:pt>
                <c:pt idx="15">
                  <c:v>1.74</c:v>
                </c:pt>
                <c:pt idx="16">
                  <c:v>1.7</c:v>
                </c:pt>
                <c:pt idx="17">
                  <c:v>1.69</c:v>
                </c:pt>
                <c:pt idx="18">
                  <c:v>1.71</c:v>
                </c:pt>
                <c:pt idx="19">
                  <c:v>1.78</c:v>
                </c:pt>
              </c:numCache>
            </c:numRef>
          </c:xVal>
          <c:yVal>
            <c:numRef>
              <c:f>Ejercicio4!$C$2:$C$21</c:f>
              <c:numCache>
                <c:formatCode>0</c:formatCode>
                <c:ptCount val="20"/>
                <c:pt idx="0">
                  <c:v>63</c:v>
                </c:pt>
                <c:pt idx="1">
                  <c:v>75</c:v>
                </c:pt>
                <c:pt idx="2">
                  <c:v>68</c:v>
                </c:pt>
                <c:pt idx="3">
                  <c:v>70</c:v>
                </c:pt>
                <c:pt idx="4">
                  <c:v>74</c:v>
                </c:pt>
                <c:pt idx="5">
                  <c:v>72</c:v>
                </c:pt>
                <c:pt idx="6">
                  <c:v>67</c:v>
                </c:pt>
                <c:pt idx="7">
                  <c:v>69</c:v>
                </c:pt>
                <c:pt idx="8">
                  <c:v>70</c:v>
                </c:pt>
                <c:pt idx="9">
                  <c:v>84</c:v>
                </c:pt>
                <c:pt idx="10">
                  <c:v>71</c:v>
                </c:pt>
                <c:pt idx="11">
                  <c:v>70</c:v>
                </c:pt>
                <c:pt idx="12">
                  <c:v>66</c:v>
                </c:pt>
                <c:pt idx="13">
                  <c:v>60</c:v>
                </c:pt>
                <c:pt idx="14">
                  <c:v>74</c:v>
                </c:pt>
                <c:pt idx="15">
                  <c:v>69</c:v>
                </c:pt>
                <c:pt idx="16">
                  <c:v>65</c:v>
                </c:pt>
                <c:pt idx="17">
                  <c:v>71</c:v>
                </c:pt>
                <c:pt idx="18">
                  <c:v>73</c:v>
                </c:pt>
                <c:pt idx="19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E6-499A-AB23-3FC14DD10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847328"/>
        <c:axId val="333845888"/>
      </c:scatterChart>
      <c:valAx>
        <c:axId val="33384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3845888"/>
        <c:crosses val="autoZero"/>
        <c:crossBetween val="midCat"/>
      </c:valAx>
      <c:valAx>
        <c:axId val="33384588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384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7F9042-248E-4035-811B-B17094AC3D3B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8263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A1283B-DE0D-9BA3-F98B-F913597E82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9C30-C9AC-4548-B4F4-C78531C4AF5C}">
  <dimension ref="A1:K30"/>
  <sheetViews>
    <sheetView showGridLines="0" tabSelected="1" zoomScale="150" zoomScaleNormal="150" workbookViewId="0">
      <pane ySplit="1" topLeftCell="A20" activePane="bottomLeft" state="frozen"/>
      <selection pane="bottomLeft" activeCell="F29" sqref="F29"/>
    </sheetView>
  </sheetViews>
  <sheetFormatPr baseColWidth="10" defaultRowHeight="12.75" x14ac:dyDescent="0.2"/>
  <cols>
    <col min="1" max="1" width="15.28515625" style="2" customWidth="1"/>
    <col min="2" max="5" width="11.42578125" style="2"/>
    <col min="6" max="6" width="12.5703125" style="2" bestFit="1" customWidth="1"/>
    <col min="7" max="16384" width="11.42578125" style="2"/>
  </cols>
  <sheetData>
    <row r="1" spans="2:11" s="11" customFormat="1" x14ac:dyDescent="0.2">
      <c r="B1" s="10" t="s">
        <v>0</v>
      </c>
      <c r="C1" s="10" t="s">
        <v>1</v>
      </c>
      <c r="D1" s="1" t="s">
        <v>5</v>
      </c>
      <c r="E1" s="1" t="s">
        <v>8</v>
      </c>
      <c r="F1" s="13" t="s">
        <v>4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</row>
    <row r="2" spans="2:11" x14ac:dyDescent="0.2">
      <c r="B2" s="3">
        <v>1.72</v>
      </c>
      <c r="C2" s="4">
        <v>63</v>
      </c>
      <c r="D2" s="5">
        <f>+B2-$B$25</f>
        <v>7.0000000000001172E-3</v>
      </c>
      <c r="E2" s="5">
        <f>+C2-$C$25</f>
        <v>-7</v>
      </c>
      <c r="F2" s="5">
        <f>+D2*E2</f>
        <v>-4.9000000000000821E-2</v>
      </c>
      <c r="G2" s="16">
        <f>+D2*D2</f>
        <v>4.9000000000001638E-5</v>
      </c>
      <c r="H2" s="5">
        <f>+E2*E2</f>
        <v>49</v>
      </c>
      <c r="I2" s="14">
        <f>+B2*B2</f>
        <v>2.9583999999999997</v>
      </c>
      <c r="J2" s="14">
        <f>+C2*C2</f>
        <v>3969</v>
      </c>
      <c r="K2" s="14">
        <f>+B2*C2</f>
        <v>108.36</v>
      </c>
    </row>
    <row r="3" spans="2:11" x14ac:dyDescent="0.2">
      <c r="B3" s="3">
        <v>1.7</v>
      </c>
      <c r="C3" s="4">
        <v>75</v>
      </c>
      <c r="D3" s="5">
        <f t="shared" ref="D3:D21" si="0">+B3-$B$25</f>
        <v>-1.2999999999999901E-2</v>
      </c>
      <c r="E3" s="5">
        <f t="shared" ref="E3:E21" si="1">+C3-$C$25</f>
        <v>5</v>
      </c>
      <c r="F3" s="5">
        <f t="shared" ref="F3:F21" si="2">+D3*E3</f>
        <v>-6.4999999999999503E-2</v>
      </c>
      <c r="G3" s="16">
        <f t="shared" ref="G3:G21" si="3">+D3*D3</f>
        <v>1.6899999999999741E-4</v>
      </c>
      <c r="H3" s="5">
        <f t="shared" ref="H3:H21" si="4">+E3*E3</f>
        <v>25</v>
      </c>
      <c r="I3" s="14">
        <f t="shared" ref="I3:I21" si="5">+B3*B3</f>
        <v>2.8899999999999997</v>
      </c>
      <c r="J3" s="14">
        <f t="shared" ref="J3:J21" si="6">+C3*C3</f>
        <v>5625</v>
      </c>
      <c r="K3" s="14">
        <f t="shared" ref="K3:K21" si="7">+B3*C3</f>
        <v>127.5</v>
      </c>
    </row>
    <row r="4" spans="2:11" x14ac:dyDescent="0.2">
      <c r="B4" s="3">
        <v>1.7</v>
      </c>
      <c r="C4" s="4">
        <v>68</v>
      </c>
      <c r="D4" s="5">
        <f t="shared" si="0"/>
        <v>-1.2999999999999901E-2</v>
      </c>
      <c r="E4" s="5">
        <f t="shared" si="1"/>
        <v>-2</v>
      </c>
      <c r="F4" s="5">
        <f t="shared" si="2"/>
        <v>2.5999999999999801E-2</v>
      </c>
      <c r="G4" s="16">
        <f t="shared" si="3"/>
        <v>1.6899999999999741E-4</v>
      </c>
      <c r="H4" s="5">
        <f t="shared" si="4"/>
        <v>4</v>
      </c>
      <c r="I4" s="14">
        <f t="shared" si="5"/>
        <v>2.8899999999999997</v>
      </c>
      <c r="J4" s="14">
        <f t="shared" si="6"/>
        <v>4624</v>
      </c>
      <c r="K4" s="14">
        <f t="shared" si="7"/>
        <v>115.6</v>
      </c>
    </row>
    <row r="5" spans="2:11" x14ac:dyDescent="0.2">
      <c r="B5" s="3">
        <v>1.68</v>
      </c>
      <c r="C5" s="4">
        <v>70</v>
      </c>
      <c r="D5" s="5">
        <f t="shared" si="0"/>
        <v>-3.2999999999999918E-2</v>
      </c>
      <c r="E5" s="5">
        <f t="shared" si="1"/>
        <v>0</v>
      </c>
      <c r="F5" s="5">
        <f t="shared" si="2"/>
        <v>0</v>
      </c>
      <c r="G5" s="16">
        <f t="shared" si="3"/>
        <v>1.0889999999999947E-3</v>
      </c>
      <c r="H5" s="5">
        <f t="shared" si="4"/>
        <v>0</v>
      </c>
      <c r="I5" s="14">
        <f t="shared" si="5"/>
        <v>2.8223999999999996</v>
      </c>
      <c r="J5" s="14">
        <f t="shared" si="6"/>
        <v>4900</v>
      </c>
      <c r="K5" s="14">
        <f t="shared" si="7"/>
        <v>117.6</v>
      </c>
    </row>
    <row r="6" spans="2:11" x14ac:dyDescent="0.2">
      <c r="B6" s="3">
        <v>1.75</v>
      </c>
      <c r="C6" s="4">
        <v>74</v>
      </c>
      <c r="D6" s="5">
        <f t="shared" si="0"/>
        <v>3.7000000000000144E-2</v>
      </c>
      <c r="E6" s="5">
        <f t="shared" si="1"/>
        <v>4</v>
      </c>
      <c r="F6" s="5">
        <f t="shared" si="2"/>
        <v>0.14800000000000058</v>
      </c>
      <c r="G6" s="16">
        <f t="shared" si="3"/>
        <v>1.3690000000000106E-3</v>
      </c>
      <c r="H6" s="5">
        <f t="shared" si="4"/>
        <v>16</v>
      </c>
      <c r="I6" s="14">
        <f t="shared" si="5"/>
        <v>3.0625</v>
      </c>
      <c r="J6" s="14">
        <f t="shared" si="6"/>
        <v>5476</v>
      </c>
      <c r="K6" s="14">
        <f t="shared" si="7"/>
        <v>129.5</v>
      </c>
    </row>
    <row r="7" spans="2:11" x14ac:dyDescent="0.2">
      <c r="B7" s="3">
        <v>1.69</v>
      </c>
      <c r="C7" s="4">
        <v>72</v>
      </c>
      <c r="D7" s="5">
        <f t="shared" si="0"/>
        <v>-2.2999999999999909E-2</v>
      </c>
      <c r="E7" s="5">
        <f t="shared" si="1"/>
        <v>2</v>
      </c>
      <c r="F7" s="5">
        <f t="shared" si="2"/>
        <v>-4.5999999999999819E-2</v>
      </c>
      <c r="G7" s="16">
        <f t="shared" si="3"/>
        <v>5.2899999999999584E-4</v>
      </c>
      <c r="H7" s="5">
        <f t="shared" si="4"/>
        <v>4</v>
      </c>
      <c r="I7" s="14">
        <f t="shared" si="5"/>
        <v>2.8560999999999996</v>
      </c>
      <c r="J7" s="14">
        <f t="shared" si="6"/>
        <v>5184</v>
      </c>
      <c r="K7" s="14">
        <f t="shared" si="7"/>
        <v>121.67999999999999</v>
      </c>
    </row>
    <row r="8" spans="2:11" x14ac:dyDescent="0.2">
      <c r="B8" s="3">
        <v>1.71</v>
      </c>
      <c r="C8" s="4">
        <v>67</v>
      </c>
      <c r="D8" s="5">
        <f t="shared" si="0"/>
        <v>-2.9999999999998916E-3</v>
      </c>
      <c r="E8" s="5">
        <f t="shared" si="1"/>
        <v>-3</v>
      </c>
      <c r="F8" s="5">
        <f t="shared" si="2"/>
        <v>8.9999999999996749E-3</v>
      </c>
      <c r="G8" s="16">
        <f t="shared" si="3"/>
        <v>8.9999999999993497E-6</v>
      </c>
      <c r="H8" s="5">
        <f t="shared" si="4"/>
        <v>9</v>
      </c>
      <c r="I8" s="14">
        <f t="shared" si="5"/>
        <v>2.9240999999999997</v>
      </c>
      <c r="J8" s="14">
        <f t="shared" si="6"/>
        <v>4489</v>
      </c>
      <c r="K8" s="14">
        <f t="shared" si="7"/>
        <v>114.57</v>
      </c>
    </row>
    <row r="9" spans="2:11" x14ac:dyDescent="0.2">
      <c r="B9" s="3">
        <v>1.69</v>
      </c>
      <c r="C9" s="4">
        <v>69</v>
      </c>
      <c r="D9" s="5">
        <f t="shared" si="0"/>
        <v>-2.2999999999999909E-2</v>
      </c>
      <c r="E9" s="5">
        <f t="shared" si="1"/>
        <v>-1</v>
      </c>
      <c r="F9" s="5">
        <f t="shared" si="2"/>
        <v>2.2999999999999909E-2</v>
      </c>
      <c r="G9" s="16">
        <f t="shared" si="3"/>
        <v>5.2899999999999584E-4</v>
      </c>
      <c r="H9" s="5">
        <f t="shared" si="4"/>
        <v>1</v>
      </c>
      <c r="I9" s="14">
        <f t="shared" si="5"/>
        <v>2.8560999999999996</v>
      </c>
      <c r="J9" s="14">
        <f t="shared" si="6"/>
        <v>4761</v>
      </c>
      <c r="K9" s="14">
        <f t="shared" si="7"/>
        <v>116.61</v>
      </c>
    </row>
    <row r="10" spans="2:11" x14ac:dyDescent="0.2">
      <c r="B10" s="3">
        <v>1.67</v>
      </c>
      <c r="C10" s="4">
        <v>70</v>
      </c>
      <c r="D10" s="5">
        <f t="shared" si="0"/>
        <v>-4.2999999999999927E-2</v>
      </c>
      <c r="E10" s="5">
        <f t="shared" si="1"/>
        <v>0</v>
      </c>
      <c r="F10" s="5">
        <f t="shared" si="2"/>
        <v>0</v>
      </c>
      <c r="G10" s="16">
        <f t="shared" si="3"/>
        <v>1.8489999999999937E-3</v>
      </c>
      <c r="H10" s="5">
        <f t="shared" si="4"/>
        <v>0</v>
      </c>
      <c r="I10" s="14">
        <f t="shared" si="5"/>
        <v>2.7888999999999999</v>
      </c>
      <c r="J10" s="14">
        <f t="shared" si="6"/>
        <v>4900</v>
      </c>
      <c r="K10" s="14">
        <f t="shared" si="7"/>
        <v>116.89999999999999</v>
      </c>
    </row>
    <row r="11" spans="2:11" x14ac:dyDescent="0.2">
      <c r="B11" s="3">
        <v>1.74</v>
      </c>
      <c r="C11" s="4">
        <v>84</v>
      </c>
      <c r="D11" s="5">
        <f t="shared" si="0"/>
        <v>2.7000000000000135E-2</v>
      </c>
      <c r="E11" s="5">
        <f t="shared" si="1"/>
        <v>14</v>
      </c>
      <c r="F11" s="5">
        <f t="shared" si="2"/>
        <v>0.37800000000000189</v>
      </c>
      <c r="G11" s="16">
        <f t="shared" si="3"/>
        <v>7.2900000000000731E-4</v>
      </c>
      <c r="H11" s="5">
        <f t="shared" si="4"/>
        <v>196</v>
      </c>
      <c r="I11" s="14">
        <f t="shared" si="5"/>
        <v>3.0276000000000001</v>
      </c>
      <c r="J11" s="14">
        <f t="shared" si="6"/>
        <v>7056</v>
      </c>
      <c r="K11" s="14">
        <f t="shared" si="7"/>
        <v>146.16</v>
      </c>
    </row>
    <row r="12" spans="2:11" x14ac:dyDescent="0.2">
      <c r="B12" s="3">
        <v>1.76</v>
      </c>
      <c r="C12" s="4">
        <v>71</v>
      </c>
      <c r="D12" s="5">
        <f t="shared" si="0"/>
        <v>4.7000000000000153E-2</v>
      </c>
      <c r="E12" s="5">
        <f t="shared" si="1"/>
        <v>1</v>
      </c>
      <c r="F12" s="5">
        <f t="shared" si="2"/>
        <v>4.7000000000000153E-2</v>
      </c>
      <c r="G12" s="16">
        <f t="shared" si="3"/>
        <v>2.2090000000000143E-3</v>
      </c>
      <c r="H12" s="5">
        <f t="shared" si="4"/>
        <v>1</v>
      </c>
      <c r="I12" s="14">
        <f t="shared" si="5"/>
        <v>3.0975999999999999</v>
      </c>
      <c r="J12" s="14">
        <f t="shared" si="6"/>
        <v>5041</v>
      </c>
      <c r="K12" s="14">
        <f t="shared" si="7"/>
        <v>124.96</v>
      </c>
    </row>
    <row r="13" spans="2:11" x14ac:dyDescent="0.2">
      <c r="B13" s="3">
        <v>1.7</v>
      </c>
      <c r="C13" s="4">
        <v>70</v>
      </c>
      <c r="D13" s="5">
        <f t="shared" si="0"/>
        <v>-1.2999999999999901E-2</v>
      </c>
      <c r="E13" s="5">
        <f t="shared" si="1"/>
        <v>0</v>
      </c>
      <c r="F13" s="5">
        <f t="shared" si="2"/>
        <v>0</v>
      </c>
      <c r="G13" s="16">
        <f t="shared" si="3"/>
        <v>1.6899999999999741E-4</v>
      </c>
      <c r="H13" s="5">
        <f t="shared" si="4"/>
        <v>0</v>
      </c>
      <c r="I13" s="14">
        <f t="shared" si="5"/>
        <v>2.8899999999999997</v>
      </c>
      <c r="J13" s="14">
        <f t="shared" si="6"/>
        <v>4900</v>
      </c>
      <c r="K13" s="14">
        <f t="shared" si="7"/>
        <v>119</v>
      </c>
    </row>
    <row r="14" spans="2:11" x14ac:dyDescent="0.2">
      <c r="B14" s="3">
        <v>1.69</v>
      </c>
      <c r="C14" s="4">
        <v>66</v>
      </c>
      <c r="D14" s="5">
        <f t="shared" si="0"/>
        <v>-2.2999999999999909E-2</v>
      </c>
      <c r="E14" s="5">
        <f t="shared" si="1"/>
        <v>-4</v>
      </c>
      <c r="F14" s="5">
        <f t="shared" si="2"/>
        <v>9.1999999999999638E-2</v>
      </c>
      <c r="G14" s="16">
        <f t="shared" si="3"/>
        <v>5.2899999999999584E-4</v>
      </c>
      <c r="H14" s="5">
        <f t="shared" si="4"/>
        <v>16</v>
      </c>
      <c r="I14" s="14">
        <f t="shared" si="5"/>
        <v>2.8560999999999996</v>
      </c>
      <c r="J14" s="14">
        <f t="shared" si="6"/>
        <v>4356</v>
      </c>
      <c r="K14" s="14">
        <f t="shared" si="7"/>
        <v>111.53999999999999</v>
      </c>
    </row>
    <row r="15" spans="2:11" x14ac:dyDescent="0.2">
      <c r="B15" s="3">
        <v>1.66</v>
      </c>
      <c r="C15" s="4">
        <v>60</v>
      </c>
      <c r="D15" s="5">
        <f t="shared" si="0"/>
        <v>-5.2999999999999936E-2</v>
      </c>
      <c r="E15" s="5">
        <f t="shared" si="1"/>
        <v>-10</v>
      </c>
      <c r="F15" s="5">
        <f t="shared" si="2"/>
        <v>0.52999999999999936</v>
      </c>
      <c r="G15" s="16">
        <f t="shared" si="3"/>
        <v>2.8089999999999934E-3</v>
      </c>
      <c r="H15" s="5">
        <f t="shared" si="4"/>
        <v>100</v>
      </c>
      <c r="I15" s="14">
        <f t="shared" si="5"/>
        <v>2.7555999999999998</v>
      </c>
      <c r="J15" s="14">
        <f t="shared" si="6"/>
        <v>3600</v>
      </c>
      <c r="K15" s="14">
        <f t="shared" si="7"/>
        <v>99.6</v>
      </c>
    </row>
    <row r="16" spans="2:11" x14ac:dyDescent="0.2">
      <c r="B16" s="3">
        <v>1.78</v>
      </c>
      <c r="C16" s="4">
        <v>74</v>
      </c>
      <c r="D16" s="5">
        <f t="shared" si="0"/>
        <v>6.7000000000000171E-2</v>
      </c>
      <c r="E16" s="5">
        <f t="shared" si="1"/>
        <v>4</v>
      </c>
      <c r="F16" s="5">
        <f t="shared" si="2"/>
        <v>0.26800000000000068</v>
      </c>
      <c r="G16" s="16">
        <f t="shared" si="3"/>
        <v>4.4890000000000225E-3</v>
      </c>
      <c r="H16" s="5">
        <f t="shared" si="4"/>
        <v>16</v>
      </c>
      <c r="I16" s="14">
        <f t="shared" si="5"/>
        <v>3.1684000000000001</v>
      </c>
      <c r="J16" s="14">
        <f t="shared" si="6"/>
        <v>5476</v>
      </c>
      <c r="K16" s="14">
        <f t="shared" si="7"/>
        <v>131.72</v>
      </c>
    </row>
    <row r="17" spans="1:11" x14ac:dyDescent="0.2">
      <c r="B17" s="3">
        <v>1.74</v>
      </c>
      <c r="C17" s="4">
        <v>69</v>
      </c>
      <c r="D17" s="5">
        <f t="shared" si="0"/>
        <v>2.7000000000000135E-2</v>
      </c>
      <c r="E17" s="5">
        <f t="shared" si="1"/>
        <v>-1</v>
      </c>
      <c r="F17" s="5">
        <f t="shared" si="2"/>
        <v>-2.7000000000000135E-2</v>
      </c>
      <c r="G17" s="16">
        <f t="shared" si="3"/>
        <v>7.2900000000000731E-4</v>
      </c>
      <c r="H17" s="5">
        <f t="shared" si="4"/>
        <v>1</v>
      </c>
      <c r="I17" s="14">
        <f t="shared" si="5"/>
        <v>3.0276000000000001</v>
      </c>
      <c r="J17" s="14">
        <f t="shared" si="6"/>
        <v>4761</v>
      </c>
      <c r="K17" s="14">
        <f t="shared" si="7"/>
        <v>120.06</v>
      </c>
    </row>
    <row r="18" spans="1:11" x14ac:dyDescent="0.2">
      <c r="B18" s="3">
        <v>1.7</v>
      </c>
      <c r="C18" s="4">
        <v>65</v>
      </c>
      <c r="D18" s="5">
        <f t="shared" si="0"/>
        <v>-1.2999999999999901E-2</v>
      </c>
      <c r="E18" s="5">
        <f t="shared" si="1"/>
        <v>-5</v>
      </c>
      <c r="F18" s="5">
        <f t="shared" si="2"/>
        <v>6.4999999999999503E-2</v>
      </c>
      <c r="G18" s="16">
        <f t="shared" si="3"/>
        <v>1.6899999999999741E-4</v>
      </c>
      <c r="H18" s="5">
        <f t="shared" si="4"/>
        <v>25</v>
      </c>
      <c r="I18" s="14">
        <f t="shared" si="5"/>
        <v>2.8899999999999997</v>
      </c>
      <c r="J18" s="14">
        <f t="shared" si="6"/>
        <v>4225</v>
      </c>
      <c r="K18" s="14">
        <f t="shared" si="7"/>
        <v>110.5</v>
      </c>
    </row>
    <row r="19" spans="1:11" x14ac:dyDescent="0.2">
      <c r="B19" s="3">
        <v>1.69</v>
      </c>
      <c r="C19" s="4">
        <v>71</v>
      </c>
      <c r="D19" s="5">
        <f t="shared" si="0"/>
        <v>-2.2999999999999909E-2</v>
      </c>
      <c r="E19" s="5">
        <f t="shared" si="1"/>
        <v>1</v>
      </c>
      <c r="F19" s="5">
        <f t="shared" si="2"/>
        <v>-2.2999999999999909E-2</v>
      </c>
      <c r="G19" s="16">
        <f t="shared" si="3"/>
        <v>5.2899999999999584E-4</v>
      </c>
      <c r="H19" s="5">
        <f t="shared" si="4"/>
        <v>1</v>
      </c>
      <c r="I19" s="14">
        <f t="shared" si="5"/>
        <v>2.8560999999999996</v>
      </c>
      <c r="J19" s="14">
        <f t="shared" si="6"/>
        <v>5041</v>
      </c>
      <c r="K19" s="14">
        <f t="shared" si="7"/>
        <v>119.99</v>
      </c>
    </row>
    <row r="20" spans="1:11" x14ac:dyDescent="0.2">
      <c r="B20" s="3">
        <v>1.71</v>
      </c>
      <c r="C20" s="4">
        <v>73</v>
      </c>
      <c r="D20" s="5">
        <f t="shared" si="0"/>
        <v>-2.9999999999998916E-3</v>
      </c>
      <c r="E20" s="5">
        <f t="shared" si="1"/>
        <v>3</v>
      </c>
      <c r="F20" s="5">
        <f t="shared" si="2"/>
        <v>-8.9999999999996749E-3</v>
      </c>
      <c r="G20" s="16">
        <f t="shared" si="3"/>
        <v>8.9999999999993497E-6</v>
      </c>
      <c r="H20" s="5">
        <f t="shared" si="4"/>
        <v>9</v>
      </c>
      <c r="I20" s="14">
        <f t="shared" si="5"/>
        <v>2.9240999999999997</v>
      </c>
      <c r="J20" s="14">
        <f t="shared" si="6"/>
        <v>5329</v>
      </c>
      <c r="K20" s="14">
        <f t="shared" si="7"/>
        <v>124.83</v>
      </c>
    </row>
    <row r="21" spans="1:11" x14ac:dyDescent="0.2">
      <c r="B21" s="3">
        <v>1.78</v>
      </c>
      <c r="C21" s="4">
        <v>69</v>
      </c>
      <c r="D21" s="5">
        <f t="shared" si="0"/>
        <v>6.7000000000000171E-2</v>
      </c>
      <c r="E21" s="5">
        <f t="shared" si="1"/>
        <v>-1</v>
      </c>
      <c r="F21" s="5">
        <f t="shared" si="2"/>
        <v>-6.7000000000000171E-2</v>
      </c>
      <c r="G21" s="16">
        <f t="shared" si="3"/>
        <v>4.4890000000000225E-3</v>
      </c>
      <c r="H21" s="5">
        <f t="shared" si="4"/>
        <v>1</v>
      </c>
      <c r="I21" s="14">
        <f t="shared" si="5"/>
        <v>3.1684000000000001</v>
      </c>
      <c r="J21" s="14">
        <f t="shared" si="6"/>
        <v>4761</v>
      </c>
      <c r="K21" s="14">
        <f t="shared" si="7"/>
        <v>122.82000000000001</v>
      </c>
    </row>
    <row r="22" spans="1:11" s="11" customFormat="1" x14ac:dyDescent="0.2">
      <c r="B22" s="6">
        <f>SUM(B2:B21)</f>
        <v>34.26</v>
      </c>
      <c r="C22" s="7">
        <f>SUM(C2:C21)</f>
        <v>1400</v>
      </c>
      <c r="D22" s="7">
        <f t="shared" ref="D22:E22" si="8">SUM(D2:D21)</f>
        <v>2.2204460492503131E-15</v>
      </c>
      <c r="E22" s="7">
        <f t="shared" si="8"/>
        <v>0</v>
      </c>
      <c r="F22" s="15">
        <f>SUM(F2:F21)</f>
        <v>1.3000000000000012</v>
      </c>
      <c r="G22" s="17">
        <f t="shared" ref="G22:H22" si="9">SUM(G2:G21)</f>
        <v>2.2620000000000043E-2</v>
      </c>
      <c r="H22" s="15">
        <f t="shared" si="9"/>
        <v>474</v>
      </c>
      <c r="I22" s="15">
        <f t="shared" ref="I22" si="10">SUM(I2:I21)</f>
        <v>58.709999999999994</v>
      </c>
      <c r="J22" s="15">
        <f t="shared" ref="J22" si="11">SUM(J2:J21)</f>
        <v>98474</v>
      </c>
      <c r="K22" s="15">
        <f t="shared" ref="K22" si="12">SUM(K2:K21)</f>
        <v>2399.5</v>
      </c>
    </row>
    <row r="24" spans="1:11" x14ac:dyDescent="0.2">
      <c r="A24" s="2" t="s">
        <v>2</v>
      </c>
      <c r="B24" s="8">
        <v>20</v>
      </c>
      <c r="C24" s="8">
        <v>20</v>
      </c>
    </row>
    <row r="25" spans="1:11" x14ac:dyDescent="0.2">
      <c r="A25" s="2" t="s">
        <v>3</v>
      </c>
      <c r="B25" s="9">
        <f>+B22/B24</f>
        <v>1.7129999999999999</v>
      </c>
      <c r="C25" s="9">
        <f>+C22/C24</f>
        <v>70</v>
      </c>
      <c r="F25" s="22" t="s">
        <v>12</v>
      </c>
      <c r="G25" s="12">
        <f>+F22</f>
        <v>1.3000000000000012</v>
      </c>
      <c r="I25" s="12">
        <f>+G25</f>
        <v>1.3000000000000012</v>
      </c>
      <c r="J25" s="21">
        <f>+I25/I26</f>
        <v>0.39701588272430682</v>
      </c>
    </row>
    <row r="26" spans="1:11" x14ac:dyDescent="0.2">
      <c r="A26" s="2" t="s">
        <v>13</v>
      </c>
      <c r="B26" s="18">
        <f>+_xlfn.STDEV.S(B2:B21)</f>
        <v>3.4504004344271054E-2</v>
      </c>
      <c r="C26" s="18">
        <f>+_xlfn.STDEV.S(C2:C21)</f>
        <v>4.9947340691024413</v>
      </c>
      <c r="G26" s="12">
        <f>+G22*H22</f>
        <v>10.72188000000002</v>
      </c>
      <c r="H26" s="2">
        <f>+SQRT(G26)</f>
        <v>3.2744281943569966</v>
      </c>
      <c r="I26" s="2">
        <f>+H26</f>
        <v>3.2744281943569966</v>
      </c>
    </row>
    <row r="27" spans="1:11" x14ac:dyDescent="0.2">
      <c r="A27" s="2" t="s">
        <v>15</v>
      </c>
      <c r="B27" s="19">
        <f>+B26/B25</f>
        <v>2.0142442699516087E-2</v>
      </c>
      <c r="C27" s="19">
        <f>+C26/C25</f>
        <v>7.1353343844320585E-2</v>
      </c>
    </row>
    <row r="29" spans="1:11" x14ac:dyDescent="0.2">
      <c r="A29" s="2" t="s">
        <v>14</v>
      </c>
      <c r="B29" s="20">
        <f>+INTERCEPT(C2:C21,B2:B21)</f>
        <v>-28.448275862068854</v>
      </c>
    </row>
    <row r="30" spans="1:11" x14ac:dyDescent="0.2">
      <c r="A30" s="2" t="s">
        <v>16</v>
      </c>
      <c r="B30" s="20">
        <f>+SLOPE(C2:C21,B2:B21)</f>
        <v>57.471264367816033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Ejercicio4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Inolsa Industrial</dc:creator>
  <cp:lastModifiedBy>Inolsa Industrial</cp:lastModifiedBy>
  <dcterms:created xsi:type="dcterms:W3CDTF">2026-09-08T23:32:30Z</dcterms:created>
  <dcterms:modified xsi:type="dcterms:W3CDTF">2026-09-09T12:17:30Z</dcterms:modified>
</cp:coreProperties>
</file>